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4560c99ae264b73/Desktop/data course/"/>
    </mc:Choice>
  </mc:AlternateContent>
  <xr:revisionPtr revIDLastSave="39" documentId="11_59F45F1C8577BFD6CADA46B1113032D84A6A4243" xr6:coauthVersionLast="47" xr6:coauthVersionMax="47" xr10:uidLastSave="{C14DA61F-8DB4-44D5-8ACE-1AEED84F40E3}"/>
  <bookViews>
    <workbookView xWindow="-108" yWindow="-108" windowWidth="23256" windowHeight="12456" xr2:uid="{00000000-000D-0000-FFFF-FFFF00000000}"/>
  </bookViews>
  <sheets>
    <sheet name="Dataset" sheetId="1" r:id="rId1"/>
    <sheet name="Sheet1" sheetId="2" r:id="rId2"/>
  </sheets>
  <definedNames>
    <definedName name="_xlnm._FilterDatabase" localSheetId="0" hidden="1">Dataset!$A$1:$G$35</definedName>
  </definedName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4" i="1" l="1"/>
  <c r="L7" i="1"/>
  <c r="L10" i="1"/>
  <c r="L14" i="1"/>
  <c r="L17" i="1"/>
  <c r="L29" i="1"/>
  <c r="L3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<sst xmlns="http://schemas.openxmlformats.org/spreadsheetml/2006/main" count="180" uniqueCount="131">
  <si>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</si>
  <si>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</si>
  <si>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</si>
  <si>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</si>
  <si>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</si>
  <si>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</si>
  <si>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</si>
  <si>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</si>
  <si>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</si>
  <si>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</si>
  <si>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</si>
  <si>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</si>
  <si>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</si>
  <si>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</si>
  <si>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</si>
  <si>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</si>
  <si>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</si>
  <si>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</si>
  <si>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</si>
  <si>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</si>
  <si>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</si>
  <si>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</si>
  <si>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</si>
  <si>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</si>
  <si>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</si>
  <si>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</si>
  <si>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</si>
  <si>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</si>
  <si>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</si>
  <si>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</si>
  <si>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</si>
  <si>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</si>
  <si>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</si>
  <si>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</si>
  <si>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</si>
  <si>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</si>
  <si>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</si>
  <si>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</si>
  <si>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</si>
  <si>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</si>
  <si>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</si>
  <si>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</si>
  <si>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</si>
  <si>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</si>
  <si>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</si>
  <si>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</si>
  <si>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</si>
  <si>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</si>
  <si>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</si>
  <si>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</si>
  <si>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</si>
  <si>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</si>
  <si>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</si>
  <si>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</si>
  <si>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</si>
  <si>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</si>
  <si>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</si>
  <si>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</si>
  <si>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</si>
  <si>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</si>
  <si>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</si>
  <si>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</si>
  <si>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</si>
  <si>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</si>
  <si>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</si>
  <si>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</si>
  <si>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</si>
  <si>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</si>
  <si>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</si>
  <si>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</si>
  <si>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</si>
  <si>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</si>
  <si>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</si>
  <si>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</si>
  <si>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</si>
  <si>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</si>
  <si>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</si>
  <si>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</si>
  <si>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</si>
  <si>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</si>
  <si>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</si>
  <si>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</si>
  <si>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</si>
  <si>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</si>
  <si>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</si>
  <si>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</si>
  <si>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</si>
  <si>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</si>
  <si>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</si>
  <si>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</si>
  <si>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</si>
  <si>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</si>
  <si>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</si>
  <si>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● Calculate the total price of all products in the dataset.</t>
  </si>
  <si>
    <t>● Determine how many products exist in the dataset.</t>
  </si>
  <si>
    <t>● Calculate the average price of the products.</t>
  </si>
  <si>
    <t>2. Minimum and Maximum Values</t>
  </si>
  <si>
    <t>● Identify the minimum price among all products.</t>
  </si>
  <si>
    <t>● Identify the maximum price among all products.</t>
  </si>
  <si>
    <t>3. Logical Function – IF</t>
  </si>
  <si>
    <t>○ If Price ≥ $500 → classify as High Price</t>
  </si>
  <si>
    <t>○ If Price &lt; $500 → classify as Standard Price</t>
  </si>
  <si>
    <t>4. Conditional Functions – SUMIF and COUNTIF</t>
  </si>
  <si>
    <t>Electronics category.</t>
  </si>
  <si>
    <t>● Use the COUNTIF function to determine the number of products with a price</t>
  </si>
  <si>
    <t>less than $100.</t>
  </si>
  <si>
    <t>5. Text Formatting – LEFT, RIGHT, MID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</si>
  <si>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</si>
  <si>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</si>
  <si>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</si>
  <si>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</si>
  <si>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</si>
  <si>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</si>
  <si>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SUM(D2:D35)</t>
  </si>
  <si>
    <t>COUNTA(B2:B35)</t>
  </si>
  <si>
    <t>AVERAGE(D2:D35)</t>
  </si>
  <si>
    <t>MIN(D2:D35)</t>
  </si>
  <si>
    <t>MAX(D2:D35)</t>
  </si>
  <si>
    <t>Price Range</t>
  </si>
  <si>
    <t>1. Sum, Count, and Average</t>
  </si>
  <si>
    <t xml:space="preserve">● Use the SUMIF function to calculate the total price of products in the </t>
  </si>
  <si>
    <t>COUNTIF(D2:D35,"&lt;100")</t>
  </si>
  <si>
    <t>SUMIF(F2:F35,"Electronics",D2:D35)</t>
  </si>
  <si>
    <t>Day</t>
  </si>
  <si>
    <t>LEFT(A2,2)</t>
  </si>
  <si>
    <t>Country Code</t>
  </si>
  <si>
    <t>RIGHT(A2,2)</t>
  </si>
  <si>
    <t>Month</t>
  </si>
  <si>
    <t>MID(A2,4,3)</t>
  </si>
  <si>
    <t>IF(D2&gt;=500,"HIGH PRICE","STANDARD PRICE")</t>
  </si>
  <si>
    <t>IF(D2&gt;=500,"HIGH PRICE",IF(D2&lt;500,"STANDARD PRICE"))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</si>
</sst>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5" fontId="3" fillId="0" borderId="0" xfId="0" applyNumberFormat="1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A25" workbookViewId="0">
      <selection activeCell="I51" sqref="I51"/>
    </sheetView>
  </sheetViews>
  <sheetFormatPr defaultColWidth="12.6640625" defaultRowHeight="15" customHeight="1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7.44140625" customWidth="1"/>
    <col min="8" max="8" width="5.109375" customWidth="1"/>
    <col min="9" max="9" width="13.33203125" bestFit="1" customWidth="1"/>
    <col min="10" max="10" width="6.44140625" bestFit="1" customWidth="1"/>
    <col min="12" max="12" width="44.109375" customWidth="1"/>
    <col min="13" max="13" width="17.44140625" bestFit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</v>
      </c>
      <c r="H1" s="1" t="s">
        <v>123</v>
      </c>
      <c r="I1" s="1" t="s">
        <v>125</v>
      </c>
      <c r="J1" s="1" t="s">
        <v>127</v>
      </c>
    </row>
    <row r="2" spans="1:13" ht="15.75" customHeight="1" x14ac:dyDescent="0.3">
      <c r="A2" s="2" t="s">
        <v>6</v>
      </c>
      <c r="B2" s="4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PRICE",IF(D2&lt;500,"STANDARD PRICE"))</f>
        <v>HIGH PRICE</v>
      </c>
      <c r="H2" s="2" t="str">
        <f>LEFT(A2,2)</f>
        <v>28</v>
      </c>
      <c r="I2" s="2" t="str">
        <f>RIGHT(A2,2)</f>
        <v>US</v>
      </c>
      <c r="J2" s="2" t="str">
        <f>MID(A2,4,3)</f>
        <v>JAN</v>
      </c>
      <c r="L2" s="9" t="s">
        <v>119</v>
      </c>
    </row>
    <row r="3" spans="1:13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35" si="0">IF(D3&gt;=500,"HIGH PRICE",IF(D3&lt;500,"STANDARD PRICE"))</f>
        <v>STANDARD PRICE</v>
      </c>
      <c r="H3" s="3" t="str">
        <f>LEFT(A3,2)</f>
        <v>15</v>
      </c>
      <c r="I3" s="3" t="str">
        <f>RIGHT(A3,2)</f>
        <v>US</v>
      </c>
      <c r="J3" s="3" t="str">
        <f>MID(A3,4,3)</f>
        <v>FEB</v>
      </c>
      <c r="L3" t="s">
        <v>93</v>
      </c>
    </row>
    <row r="4" spans="1:13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2" t="str">
        <f>LEFT(A4,2)</f>
        <v>03</v>
      </c>
      <c r="I4" s="2" t="str">
        <f>RIGHT(A4,2)</f>
        <v>US</v>
      </c>
      <c r="J4" s="2" t="str">
        <f>MID(A4,4,3)</f>
        <v>MAR</v>
      </c>
      <c r="L4" s="8">
        <f>SUM(D2:D35)</f>
        <v>10100</v>
      </c>
      <c r="M4" s="7" t="s">
        <v>113</v>
      </c>
    </row>
    <row r="5" spans="1:13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H5" s="3" t="str">
        <f>LEFT(A5,2)</f>
        <v>11</v>
      </c>
      <c r="I5" s="3" t="str">
        <f>RIGHT(A5,2)</f>
        <v>US</v>
      </c>
      <c r="J5" s="3" t="str">
        <f>MID(A5,4,3)</f>
        <v>APR</v>
      </c>
    </row>
    <row r="6" spans="1:13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2" t="str">
        <f>LEFT(A6,2)</f>
        <v>22</v>
      </c>
      <c r="I6" s="2" t="str">
        <f>RIGHT(A6,2)</f>
        <v>US</v>
      </c>
      <c r="J6" s="2" t="str">
        <f>MID(A6,4,3)</f>
        <v>MAY</v>
      </c>
      <c r="L6" t="s">
        <v>94</v>
      </c>
    </row>
    <row r="7" spans="1:13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H7" s="3" t="str">
        <f>LEFT(A7,2)</f>
        <v>07</v>
      </c>
      <c r="I7" s="3" t="str">
        <f>RIGHT(A7,2)</f>
        <v>UK</v>
      </c>
      <c r="J7" s="3" t="str">
        <f>MID(A7,4,3)</f>
        <v>JUN</v>
      </c>
      <c r="L7" s="6">
        <f>COUNTA(B2:B35)</f>
        <v>34</v>
      </c>
      <c r="M7" s="7" t="s">
        <v>114</v>
      </c>
    </row>
    <row r="8" spans="1:13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2" t="str">
        <f>LEFT(A8,2)</f>
        <v>19</v>
      </c>
      <c r="I8" s="2" t="str">
        <f>RIGHT(A8,2)</f>
        <v>UK</v>
      </c>
      <c r="J8" s="2" t="str">
        <f>MID(A8,4,3)</f>
        <v>JUL</v>
      </c>
    </row>
    <row r="9" spans="1:13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H9" s="3" t="str">
        <f>LEFT(A9,2)</f>
        <v>23</v>
      </c>
      <c r="I9" s="3" t="str">
        <f>RIGHT(A9,2)</f>
        <v>UK</v>
      </c>
      <c r="J9" s="3" t="str">
        <f>MID(A9,4,3)</f>
        <v>AUG</v>
      </c>
      <c r="L9" t="s">
        <v>95</v>
      </c>
    </row>
    <row r="10" spans="1:13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s="2" t="str">
        <f>LEFT(A10,2)</f>
        <v>05</v>
      </c>
      <c r="I10" s="2" t="str">
        <f>RIGHT(A10,2)</f>
        <v>UK</v>
      </c>
      <c r="J10" s="2" t="str">
        <f>MID(A10,4,3)</f>
        <v>SEP</v>
      </c>
      <c r="L10" s="6">
        <f>AVERAGE(D2:D35)</f>
        <v>297.05882352941177</v>
      </c>
      <c r="M10" s="7" t="s">
        <v>115</v>
      </c>
    </row>
    <row r="11" spans="1:13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H11" s="3" t="str">
        <f>LEFT(A11,2)</f>
        <v>14</v>
      </c>
      <c r="I11" s="3" t="str">
        <f>RIGHT(A11,2)</f>
        <v>UK</v>
      </c>
      <c r="J11" s="3" t="str">
        <f>MID(A11,4,3)</f>
        <v>OCT</v>
      </c>
    </row>
    <row r="12" spans="1:13" ht="15.75" customHeight="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2" t="str">
        <f>LEFT(A12,2)</f>
        <v>17</v>
      </c>
      <c r="I12" s="2" t="str">
        <f>RIGHT(A12,2)</f>
        <v>IN</v>
      </c>
      <c r="J12" s="2" t="str">
        <f>MID(A12,4,3)</f>
        <v>JUN</v>
      </c>
      <c r="L12" s="9" t="s">
        <v>96</v>
      </c>
    </row>
    <row r="13" spans="1:13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H13" s="3" t="str">
        <f>LEFT(A13,2)</f>
        <v>25</v>
      </c>
      <c r="I13" s="3" t="str">
        <f>RIGHT(A13,2)</f>
        <v>AU</v>
      </c>
      <c r="J13" s="3" t="str">
        <f>MID(A13,4,3)</f>
        <v>NOV</v>
      </c>
      <c r="L13" t="s">
        <v>97</v>
      </c>
    </row>
    <row r="14" spans="1:13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2" t="str">
        <f>LEFT(A14,2)</f>
        <v>08</v>
      </c>
      <c r="I14" s="2" t="str">
        <f>RIGHT(A14,2)</f>
        <v>DE</v>
      </c>
      <c r="J14" s="2" t="str">
        <f>MID(A14,4,3)</f>
        <v>DEC</v>
      </c>
      <c r="L14" s="6">
        <f>MIN(D2:D35)</f>
        <v>30</v>
      </c>
      <c r="M14" s="7" t="s">
        <v>116</v>
      </c>
    </row>
    <row r="15" spans="1:13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0"/>
        <v>STANDARD PRICE</v>
      </c>
      <c r="H15" s="3" t="str">
        <f>LEFT(A15,2)</f>
        <v>18</v>
      </c>
      <c r="I15" s="3" t="str">
        <f>RIGHT(A15,2)</f>
        <v>CA</v>
      </c>
      <c r="J15" s="3" t="str">
        <f>MID(A15,4,3)</f>
        <v>FEB</v>
      </c>
    </row>
    <row r="16" spans="1:13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2" t="str">
        <f>LEFT(A16,2)</f>
        <v>16</v>
      </c>
      <c r="I16" s="2" t="str">
        <f>RIGHT(A16,2)</f>
        <v>ES</v>
      </c>
      <c r="J16" s="2" t="str">
        <f>MID(A16,4,3)</f>
        <v>APR</v>
      </c>
      <c r="L16" t="s">
        <v>98</v>
      </c>
    </row>
    <row r="17" spans="1:13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0"/>
        <v>STANDARD PRICE</v>
      </c>
      <c r="H17" s="3" t="str">
        <f>LEFT(A17,2)</f>
        <v>21</v>
      </c>
      <c r="I17" s="3" t="str">
        <f>RIGHT(A17,2)</f>
        <v>CA</v>
      </c>
      <c r="J17" s="3" t="str">
        <f>MID(A17,4,3)</f>
        <v>AUG</v>
      </c>
      <c r="L17" s="6">
        <f>MAX(D2:D35)</f>
        <v>1000</v>
      </c>
      <c r="M17" s="7" t="s">
        <v>117</v>
      </c>
    </row>
    <row r="18" spans="1:13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2" t="str">
        <f>LEFT(A18,2)</f>
        <v>20</v>
      </c>
      <c r="I18" s="2" t="str">
        <f>RIGHT(A18,2)</f>
        <v>CN</v>
      </c>
      <c r="J18" s="2" t="str">
        <f>MID(A18,4,3)</f>
        <v>AUG</v>
      </c>
    </row>
    <row r="19" spans="1:13" ht="15.75" customHeight="1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0"/>
        <v>HIGH PRICE</v>
      </c>
      <c r="H19" s="3" t="str">
        <f>LEFT(A19,2)</f>
        <v>27</v>
      </c>
      <c r="I19" s="3" t="str">
        <f>RIGHT(A19,2)</f>
        <v>IT</v>
      </c>
      <c r="J19" s="3" t="str">
        <f>MID(A19,4,3)</f>
        <v>JAN</v>
      </c>
      <c r="L19" s="9" t="s">
        <v>99</v>
      </c>
    </row>
    <row r="20" spans="1:13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2" t="str">
        <f>LEFT(A20,2)</f>
        <v>01</v>
      </c>
      <c r="I20" s="2" t="str">
        <f>RIGHT(A20,2)</f>
        <v>UK</v>
      </c>
      <c r="J20" s="2" t="str">
        <f>MID(A20,4,3)</f>
        <v>MAR</v>
      </c>
      <c r="L20" t="s">
        <v>100</v>
      </c>
    </row>
    <row r="21" spans="1:13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0"/>
        <v>STANDARD PRICE</v>
      </c>
      <c r="H21" s="3" t="str">
        <f>LEFT(A21,2)</f>
        <v>14</v>
      </c>
      <c r="I21" s="3" t="str">
        <f>RIGHT(A21,2)</f>
        <v>US</v>
      </c>
      <c r="J21" s="3" t="str">
        <f>MID(A21,4,3)</f>
        <v>AUG</v>
      </c>
      <c r="L21" s="7" t="s">
        <v>129</v>
      </c>
    </row>
    <row r="22" spans="1:13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2" t="str">
        <f>LEFT(A22,2)</f>
        <v>14</v>
      </c>
      <c r="I22" s="2" t="str">
        <f>RIGHT(A22,2)</f>
        <v>RU</v>
      </c>
      <c r="J22" s="2" t="str">
        <f>MID(A22,4,3)</f>
        <v>MAY</v>
      </c>
    </row>
    <row r="23" spans="1:13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0"/>
        <v>STANDARD PRICE</v>
      </c>
      <c r="H23" s="3" t="str">
        <f>LEFT(A23,2)</f>
        <v>09</v>
      </c>
      <c r="I23" s="3" t="str">
        <f>RIGHT(A23,2)</f>
        <v>CA</v>
      </c>
      <c r="J23" s="3" t="str">
        <f>MID(A23,4,3)</f>
        <v>JAN</v>
      </c>
      <c r="L23" t="s">
        <v>101</v>
      </c>
    </row>
    <row r="24" spans="1:13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2" t="str">
        <f>LEFT(A24,2)</f>
        <v>19</v>
      </c>
      <c r="I24" s="2" t="str">
        <f>RIGHT(A24,2)</f>
        <v>BR</v>
      </c>
      <c r="J24" s="2" t="str">
        <f>MID(A24,4,3)</f>
        <v>JUL</v>
      </c>
      <c r="L24" s="7" t="s">
        <v>130</v>
      </c>
    </row>
    <row r="25" spans="1:13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0"/>
        <v>STANDARD PRICE</v>
      </c>
      <c r="H25" s="3" t="str">
        <f>LEFT(A25,2)</f>
        <v>21</v>
      </c>
      <c r="I25" s="3" t="str">
        <f>RIGHT(A25,2)</f>
        <v>CA</v>
      </c>
      <c r="J25" s="3" t="str">
        <f>MID(A25,4,3)</f>
        <v>AUG</v>
      </c>
    </row>
    <row r="26" spans="1:13" ht="15.75" customHeight="1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2" t="str">
        <f>LEFT(A26,2)</f>
        <v>29</v>
      </c>
      <c r="I26" s="2" t="str">
        <f>RIGHT(A26,2)</f>
        <v>CA</v>
      </c>
      <c r="J26" s="2" t="str">
        <f>MID(A26,4,3)</f>
        <v>SEP</v>
      </c>
      <c r="L26" s="9" t="s">
        <v>102</v>
      </c>
    </row>
    <row r="27" spans="1:13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0"/>
        <v>STANDARD PRICE</v>
      </c>
      <c r="H27" s="3" t="str">
        <f>LEFT(A27,2)</f>
        <v>03</v>
      </c>
      <c r="I27" s="3" t="str">
        <f>RIGHT(A27,2)</f>
        <v>CA</v>
      </c>
      <c r="J27" s="3" t="str">
        <f>MID(A27,4,3)</f>
        <v>JUN</v>
      </c>
      <c r="L27" s="5" t="s">
        <v>120</v>
      </c>
    </row>
    <row r="28" spans="1:13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2" t="str">
        <f>LEFT(A28,2)</f>
        <v>11</v>
      </c>
      <c r="I28" s="2" t="str">
        <f>RIGHT(A28,2)</f>
        <v>CA</v>
      </c>
      <c r="J28" s="2" t="str">
        <f>MID(A28,4,3)</f>
        <v>JUL</v>
      </c>
      <c r="L28" t="s">
        <v>103</v>
      </c>
    </row>
    <row r="29" spans="1:13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0"/>
        <v>STANDARD PRICE</v>
      </c>
      <c r="H29" s="3" t="str">
        <f>LEFT(A29,2)</f>
        <v>16</v>
      </c>
      <c r="I29" s="3" t="str">
        <f>RIGHT(A29,2)</f>
        <v>ES</v>
      </c>
      <c r="J29" s="3" t="str">
        <f>MID(A29,4,3)</f>
        <v>APR</v>
      </c>
      <c r="L29" s="6">
        <f>SUMIF(F2:F35,"Electronics",D2:D35)</f>
        <v>8050</v>
      </c>
      <c r="M29" s="6" t="s">
        <v>122</v>
      </c>
    </row>
    <row r="30" spans="1:13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2" t="str">
        <f>LEFT(A30,2)</f>
        <v>07</v>
      </c>
      <c r="I30" s="2" t="str">
        <f>RIGHT(A30,2)</f>
        <v>CA</v>
      </c>
      <c r="J30" s="2" t="str">
        <f>MID(A30,4,3)</f>
        <v>MAR</v>
      </c>
    </row>
    <row r="31" spans="1:13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0"/>
        <v>STANDARD PRICE</v>
      </c>
      <c r="H31" s="3" t="str">
        <f>LEFT(A31,2)</f>
        <v>13</v>
      </c>
      <c r="I31" s="3" t="str">
        <f>RIGHT(A31,2)</f>
        <v>CA</v>
      </c>
      <c r="J31" s="3" t="str">
        <f>MID(A31,4,3)</f>
        <v>APR</v>
      </c>
      <c r="L31" t="s">
        <v>104</v>
      </c>
    </row>
    <row r="32" spans="1:13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2" t="str">
        <f>LEFT(A32,2)</f>
        <v>24</v>
      </c>
      <c r="I32" s="2" t="str">
        <f>RIGHT(A32,2)</f>
        <v>CA</v>
      </c>
      <c r="J32" s="2" t="str">
        <f>MID(A32,4,3)</f>
        <v>MAY</v>
      </c>
      <c r="L32" t="s">
        <v>105</v>
      </c>
    </row>
    <row r="33" spans="1:13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0"/>
        <v>STANDARD PRICE</v>
      </c>
      <c r="H33" s="3" t="str">
        <f>LEFT(A33,2)</f>
        <v>02</v>
      </c>
      <c r="I33" s="3" t="str">
        <f>RIGHT(A33,2)</f>
        <v>CA</v>
      </c>
      <c r="J33" s="3" t="str">
        <f>MID(A33,4,3)</f>
        <v>DEC</v>
      </c>
      <c r="L33" s="6">
        <f>COUNTIF(D2:D35,"&lt;100")</f>
        <v>11</v>
      </c>
      <c r="M33" s="6" t="s">
        <v>121</v>
      </c>
    </row>
    <row r="34" spans="1:13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2" t="str">
        <f>LEFT(A34,2)</f>
        <v>17</v>
      </c>
      <c r="I34" s="2" t="str">
        <f>RIGHT(A34,2)</f>
        <v>IN</v>
      </c>
      <c r="J34" s="2" t="str">
        <f>MID(A34,4,3)</f>
        <v>JUN</v>
      </c>
    </row>
    <row r="35" spans="1:13" ht="15.75" customHeight="1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0"/>
        <v>STANDARD PRICE</v>
      </c>
      <c r="H35" s="3" t="str">
        <f>LEFT(A35,2)</f>
        <v>09</v>
      </c>
      <c r="I35" s="3" t="str">
        <f>RIGHT(A35,2)</f>
        <v>FR</v>
      </c>
      <c r="J35" s="3" t="str">
        <f>MID(A35,4,3)</f>
        <v>JUL</v>
      </c>
      <c r="L35" s="9" t="s">
        <v>106</v>
      </c>
    </row>
    <row r="36" spans="1:13" ht="15.75" customHeight="1" x14ac:dyDescent="0.25">
      <c r="L36" t="s">
        <v>107</v>
      </c>
    </row>
    <row r="37" spans="1:13" ht="15.75" customHeight="1" x14ac:dyDescent="0.25">
      <c r="L37" t="s">
        <v>108</v>
      </c>
    </row>
    <row r="38" spans="1:13" ht="15.75" customHeight="1" x14ac:dyDescent="0.25">
      <c r="L38" s="7" t="s">
        <v>124</v>
      </c>
    </row>
    <row r="39" spans="1:13" ht="15.75" customHeight="1" x14ac:dyDescent="0.25"/>
    <row r="40" spans="1:13" ht="15.75" customHeight="1" x14ac:dyDescent="0.25">
      <c r="L40" t="s">
        <v>109</v>
      </c>
    </row>
    <row r="41" spans="1:13" ht="15.75" customHeight="1" x14ac:dyDescent="0.25">
      <c r="L41" t="s">
        <v>110</v>
      </c>
    </row>
    <row r="42" spans="1:13" ht="15.75" customHeight="1" x14ac:dyDescent="0.25">
      <c r="L42" s="7" t="s">
        <v>126</v>
      </c>
    </row>
    <row r="43" spans="1:13" ht="15.75" customHeight="1" x14ac:dyDescent="0.25"/>
    <row r="44" spans="1:13" ht="15.75" customHeight="1" x14ac:dyDescent="0.25">
      <c r="L44" t="s">
        <v>111</v>
      </c>
    </row>
    <row r="45" spans="1:13" ht="15.75" customHeight="1" x14ac:dyDescent="0.25">
      <c r="L45" t="s">
        <v>112</v>
      </c>
    </row>
    <row r="46" spans="1:13" ht="15.75" customHeight="1" x14ac:dyDescent="0.25">
      <c r="L46" s="7" t="s">
        <v>128</v>
      </c>
    </row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A659-5837-4921-B44F-BB5ECF8C60D8}">
  <dimension ref="A1"/>
  <sheetViews>
    <sheetView topLeftCell="A12" workbookViewId="0">
      <selection activeCell="B36" sqref="B36"/>
    </sheetView>
  </sheetViews>
  <sheetFormatPr defaultRowHeight="13.2" x14ac:dyDescent="0.25"/>
  <cols>
    <col min="2" max="2" width="65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pavithra nataraj</cp:lastModifiedBy>
  <dcterms:modified xsi:type="dcterms:W3CDTF">2026-09-19T19:46:41Z</dcterms:modified>
</cp:coreProperties>
</file>